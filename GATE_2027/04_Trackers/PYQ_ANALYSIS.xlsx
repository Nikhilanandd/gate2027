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Q by Year" sheetId="1" state="visible" r:id="rId1"/>
    <sheet xmlns:r="http://schemas.openxmlformats.org/officeDocument/2006/relationships" name="PYQ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E65100"/>
        <bgColor rgb="00E65100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5100"/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Year</t>
        </is>
      </c>
      <c r="B1" s="1" t="inlineStr">
        <is>
          <t>Subject</t>
        </is>
      </c>
      <c r="C1" s="1" t="inlineStr">
        <is>
          <t>Topic</t>
        </is>
      </c>
      <c r="D1" s="1" t="inlineStr">
        <is>
          <t>Question</t>
        </is>
      </c>
      <c r="E1" s="1" t="inlineStr">
        <is>
          <t>Marks</t>
        </is>
      </c>
      <c r="F1" s="1" t="inlineStr">
        <is>
          <t>Type</t>
        </is>
      </c>
      <c r="G1" s="1" t="inlineStr">
        <is>
          <t>Difficulty</t>
        </is>
      </c>
      <c r="H1" s="1" t="inlineStr">
        <is>
          <t>My_Attempt</t>
        </is>
      </c>
      <c r="I1" s="1" t="inlineStr">
        <is>
          <t>Correct</t>
        </is>
      </c>
      <c r="J1" s="1" t="inlineStr">
        <is>
          <t>Time_Sec</t>
        </is>
      </c>
      <c r="K1" s="1" t="inlineStr">
        <is>
          <t>Error_Type</t>
        </is>
      </c>
      <c r="L1" s="1" t="inlineStr">
        <is>
          <t>Notes</t>
        </is>
      </c>
    </row>
    <row r="2">
      <c r="A2" s="2" t="n">
        <v>2015</v>
      </c>
      <c r="B2" s="2" t="inlineStr">
        <is>
          <t>Engineering Mathematics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n">
        <v>2015</v>
      </c>
      <c r="B3" s="3" t="inlineStr">
        <is>
          <t>Digital Logic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n">
        <v>2015</v>
      </c>
      <c r="B4" s="2" t="inlineStr">
        <is>
          <t>Computer Organization &amp; Architecture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n">
        <v>2015</v>
      </c>
      <c r="B5" s="3" t="inlineStr">
        <is>
          <t>Programming &amp; Data Structures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n">
        <v>2016</v>
      </c>
      <c r="B6" s="2" t="inlineStr">
        <is>
          <t>Engineering Mathematics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n">
        <v>2016</v>
      </c>
      <c r="B7" s="3" t="inlineStr">
        <is>
          <t>Digital Logic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n">
        <v>2016</v>
      </c>
      <c r="B8" s="2" t="inlineStr">
        <is>
          <t>Computer Organization &amp; Architecture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n">
        <v>2016</v>
      </c>
      <c r="B9" s="3" t="inlineStr">
        <is>
          <t>Programming &amp; Data Structures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n">
        <v>2017</v>
      </c>
      <c r="B10" s="2" t="inlineStr">
        <is>
          <t>Engineering Mathematics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n">
        <v>2017</v>
      </c>
      <c r="B11" s="3" t="inlineStr">
        <is>
          <t>Digital Logic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n">
        <v>2017</v>
      </c>
      <c r="B12" s="2" t="inlineStr">
        <is>
          <t>Computer Organization &amp; Architecture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n">
        <v>2017</v>
      </c>
      <c r="B13" s="3" t="inlineStr">
        <is>
          <t>Programming &amp; Data Structures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n">
        <v>2018</v>
      </c>
      <c r="B14" s="2" t="inlineStr">
        <is>
          <t>Engineering Mathematics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n">
        <v>2018</v>
      </c>
      <c r="B15" s="3" t="inlineStr">
        <is>
          <t>Digital Logic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n">
        <v>2018</v>
      </c>
      <c r="B16" s="2" t="inlineStr">
        <is>
          <t>Computer Organization &amp; Architecture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n">
        <v>2018</v>
      </c>
      <c r="B17" s="3" t="inlineStr">
        <is>
          <t>Programming &amp; Data Structures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n">
        <v>2019</v>
      </c>
      <c r="B18" s="2" t="inlineStr">
        <is>
          <t>Engineering Mathematics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n">
        <v>2019</v>
      </c>
      <c r="B19" s="3" t="inlineStr">
        <is>
          <t>Digital Logic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2" t="n">
        <v>2019</v>
      </c>
      <c r="B20" s="2" t="inlineStr">
        <is>
          <t>Computer Organization &amp; Architecture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3" t="n">
        <v>2019</v>
      </c>
      <c r="B21" s="3" t="inlineStr">
        <is>
          <t>Programming &amp; Data Structures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2" t="n">
        <v>2020</v>
      </c>
      <c r="B22" s="2" t="inlineStr">
        <is>
          <t>Engineering Mathematics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3" t="n">
        <v>2020</v>
      </c>
      <c r="B23" s="3" t="inlineStr">
        <is>
          <t>Digital Logic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2" t="n">
        <v>2020</v>
      </c>
      <c r="B24" s="2" t="inlineStr">
        <is>
          <t>Computer Organization &amp; Architecture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3" t="n">
        <v>2020</v>
      </c>
      <c r="B25" s="3" t="inlineStr">
        <is>
          <t>Programming &amp; Data Structures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2" t="n">
        <v>2021</v>
      </c>
      <c r="B26" s="2" t="inlineStr">
        <is>
          <t>Engineering Mathematics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3" t="n">
        <v>2021</v>
      </c>
      <c r="B27" s="3" t="inlineStr">
        <is>
          <t>Digital Logic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2" t="n">
        <v>2021</v>
      </c>
      <c r="B28" s="2" t="inlineStr">
        <is>
          <t>Computer Organization &amp; Architecture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3" t="n">
        <v>2021</v>
      </c>
      <c r="B29" s="3" t="inlineStr">
        <is>
          <t>Programming &amp; Data Structures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2" t="n">
        <v>2022</v>
      </c>
      <c r="B30" s="2" t="inlineStr">
        <is>
          <t>Engineering Mathematics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3" t="n">
        <v>2022</v>
      </c>
      <c r="B31" s="3" t="inlineStr">
        <is>
          <t>Digital Logic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2" t="n">
        <v>2022</v>
      </c>
      <c r="B32" s="2" t="inlineStr">
        <is>
          <t>Computer Organization &amp; Architecture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3" t="n">
        <v>2022</v>
      </c>
      <c r="B33" s="3" t="inlineStr">
        <is>
          <t>Programming &amp; Data Structures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2" t="n">
        <v>2023</v>
      </c>
      <c r="B34" s="2" t="inlineStr">
        <is>
          <t>Engineering Mathematics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3" t="n">
        <v>2023</v>
      </c>
      <c r="B35" s="3" t="inlineStr">
        <is>
          <t>Digital Logic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>
      <c r="A36" s="2" t="n">
        <v>2023</v>
      </c>
      <c r="B36" s="2" t="inlineStr">
        <is>
          <t>Computer Organization &amp; Architecture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3" t="n">
        <v>2023</v>
      </c>
      <c r="B37" s="3" t="inlineStr">
        <is>
          <t>Programming &amp; Data Structures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>
      <c r="A38" s="2" t="n">
        <v>2024</v>
      </c>
      <c r="B38" s="2" t="inlineStr">
        <is>
          <t>Engineering Mathematics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3" t="n">
        <v>2024</v>
      </c>
      <c r="B39" s="3" t="inlineStr">
        <is>
          <t>Digital Logic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>
      <c r="A40" s="2" t="n">
        <v>2024</v>
      </c>
      <c r="B40" s="2" t="inlineStr">
        <is>
          <t>Computer Organization &amp; Architecture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3" t="n">
        <v>2024</v>
      </c>
      <c r="B41" s="3" t="inlineStr">
        <is>
          <t>Programming &amp; Data Structures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</row>
    <row r="42">
      <c r="A42" s="2" t="n">
        <v>2025</v>
      </c>
      <c r="B42" s="2" t="inlineStr">
        <is>
          <t>Engineering Mathematics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3" t="n">
        <v>2025</v>
      </c>
      <c r="B43" s="3" t="inlineStr">
        <is>
          <t>Digital Logic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>
      <c r="A44" s="2" t="n">
        <v>2025</v>
      </c>
      <c r="B44" s="2" t="inlineStr">
        <is>
          <t>Computer Organization &amp; Architecture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3" t="n">
        <v>2025</v>
      </c>
      <c r="B45" s="3" t="inlineStr">
        <is>
          <t>Programming &amp; Data Structures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>
      <c r="A46" s="2" t="n">
        <v>2026</v>
      </c>
      <c r="B46" s="2" t="inlineStr">
        <is>
          <t>Engineering Mathematics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>
      <c r="A47" s="3" t="n">
        <v>2026</v>
      </c>
      <c r="B47" s="3" t="inlineStr">
        <is>
          <t>Digital Logic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</row>
    <row r="48">
      <c r="A48" s="2" t="n">
        <v>2026</v>
      </c>
      <c r="B48" s="2" t="inlineStr">
        <is>
          <t>Computer Organization &amp; Architecture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3" t="n">
        <v>2026</v>
      </c>
      <c r="B49" s="3" t="inlineStr">
        <is>
          <t>Programming &amp; Data Structures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</row>
  </sheetData>
  <dataValidations count="5">
    <dataValidation sqref="F2:F2000" showDropDown="0" showInputMessage="0" showErrorMessage="1" allowBlank="1" errorTitle="Invalid Entry" error="Choose from: MCQ,MSQ,NAT" type="list">
      <formula1>"MCQ,MSQ,NAT"</formula1>
    </dataValidation>
    <dataValidation sqref="G2:G2000" showDropDown="0" showInputMessage="0" showErrorMessage="1" allowBlank="1" errorTitle="Invalid Entry" error="Choose from: Easy,Medium,Hard,Very Hard" type="list">
      <formula1>"Easy,Medium,Hard,Very Hard"</formula1>
    </dataValidation>
    <dataValidation sqref="H2:H2000" showDropDown="0" showInputMessage="0" showErrorMessage="1" allowBlank="1" errorTitle="Invalid Entry" error="Choose from: Yes,No,Partial" type="list">
      <formula1>"Yes,No,Partial"</formula1>
    </dataValidation>
    <dataValidation sqref="I2:I2000" showDropDown="0" showInputMessage="0" showErrorMessage="1" allowBlank="1" errorTitle="Invalid Entry" error="Choose from: Yes,No" type="list">
      <formula1>"Yes,No"</formula1>
    </dataValidation>
    <dataValidation sqref="K2:K2000" showDropDown="0" showInputMessage="0" showErrorMessage="1" allowBlank="1" errorTitle="Invalid Entry" error="Choose from: Conceptual,Silly,Time Pressure,Not Attempted,Calculation" type="list">
      <formula1>"Conceptual,Silly,Time Pressure,Not Attempted,Calculation"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7C00"/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15" customWidth="1" min="6" max="6"/>
    <col width="13" customWidth="1" min="7" max="7"/>
  </cols>
  <sheetData>
    <row r="1">
      <c r="A1" s="1" t="inlineStr">
        <is>
          <t>Subject</t>
        </is>
      </c>
      <c r="B1" s="1" t="inlineStr">
        <is>
          <t>Total_Questions</t>
        </is>
      </c>
      <c r="C1" s="1" t="inlineStr">
        <is>
          <t>Correct</t>
        </is>
      </c>
      <c r="D1" s="1" t="inlineStr">
        <is>
          <t>Accuracy_%</t>
        </is>
      </c>
      <c r="E1" s="1" t="inlineStr">
        <is>
          <t>Avg_Time</t>
        </is>
      </c>
      <c r="F1" s="1" t="inlineStr">
        <is>
          <t>Strong_Topics</t>
        </is>
      </c>
      <c r="G1" s="1" t="inlineStr">
        <is>
          <t>Weak_Topics</t>
        </is>
      </c>
    </row>
    <row r="2">
      <c r="A2" s="2" t="inlineStr">
        <is>
          <t>Engineering Mathematics</t>
        </is>
      </c>
      <c r="B2" s="2">
        <f>COUNTIF('PYQ by Year'!B$2:B$2000,A2)</f>
        <v/>
      </c>
      <c r="C2" s="2">
        <f>COUNTIFS('PYQ by Year'!B$2:B$2000,A2,'PYQ by Year'!I$2:I$2000,"Yes")</f>
        <v/>
      </c>
      <c r="D2" s="2">
        <f>IF(B2=0,0,ROUND(C2/B2*100,1))</f>
        <v/>
      </c>
      <c r="E2" s="2">
        <f>IF(B2=0,"",ROUND(AVERAGEIFS('PYQ by Year'!J$2:J$2000,'PYQ by Year'!B$2:B$2000,A2),0)&amp;"s")</f>
        <v/>
      </c>
      <c r="F2" s="2" t="n"/>
      <c r="G2" s="2" t="n"/>
    </row>
    <row r="3">
      <c r="A3" s="3" t="inlineStr">
        <is>
          <t>Digital Logic</t>
        </is>
      </c>
      <c r="B3" s="3">
        <f>COUNTIF('PYQ by Year'!B$2:B$2000,A3)</f>
        <v/>
      </c>
      <c r="C3" s="3">
        <f>COUNTIFS('PYQ by Year'!B$2:B$2000,A3,'PYQ by Year'!I$2:I$2000,"Yes")</f>
        <v/>
      </c>
      <c r="D3" s="3">
        <f>IF(B3=0,0,ROUND(C3/B3*100,1))</f>
        <v/>
      </c>
      <c r="E3" s="3">
        <f>IF(B3=0,"",ROUND(AVERAGEIFS('PYQ by Year'!J$2:J$2000,'PYQ by Year'!B$2:B$2000,A3),0)&amp;"s")</f>
        <v/>
      </c>
      <c r="F3" s="3" t="n"/>
      <c r="G3" s="3" t="n"/>
    </row>
    <row r="4">
      <c r="A4" s="2" t="inlineStr">
        <is>
          <t>Computer Organization &amp; Architecture</t>
        </is>
      </c>
      <c r="B4" s="2">
        <f>COUNTIF('PYQ by Year'!B$2:B$2000,A4)</f>
        <v/>
      </c>
      <c r="C4" s="2">
        <f>COUNTIFS('PYQ by Year'!B$2:B$2000,A4,'PYQ by Year'!I$2:I$2000,"Yes")</f>
        <v/>
      </c>
      <c r="D4" s="2">
        <f>IF(B4=0,0,ROUND(C4/B4*100,1))</f>
        <v/>
      </c>
      <c r="E4" s="2">
        <f>IF(B4=0,"",ROUND(AVERAGEIFS('PYQ by Year'!J$2:J$2000,'PYQ by Year'!B$2:B$2000,A4),0)&amp;"s")</f>
        <v/>
      </c>
      <c r="F4" s="2" t="n"/>
      <c r="G4" s="2" t="n"/>
    </row>
    <row r="5">
      <c r="A5" s="3" t="inlineStr">
        <is>
          <t>Programming &amp; Data Structures</t>
        </is>
      </c>
      <c r="B5" s="3">
        <f>COUNTIF('PYQ by Year'!B$2:B$2000,A5)</f>
        <v/>
      </c>
      <c r="C5" s="3">
        <f>COUNTIFS('PYQ by Year'!B$2:B$2000,A5,'PYQ by Year'!I$2:I$2000,"Yes")</f>
        <v/>
      </c>
      <c r="D5" s="3">
        <f>IF(B5=0,0,ROUND(C5/B5*100,1))</f>
        <v/>
      </c>
      <c r="E5" s="3">
        <f>IF(B5=0,"",ROUND(AVERAGEIFS('PYQ by Year'!J$2:J$2000,'PYQ by Year'!B$2:B$2000,A5),0)&amp;"s")</f>
        <v/>
      </c>
      <c r="F5" s="3" t="n"/>
      <c r="G5" s="3" t="n"/>
    </row>
    <row r="6">
      <c r="A6" s="2" t="inlineStr">
        <is>
          <t>Algorithms</t>
        </is>
      </c>
      <c r="B6" s="2">
        <f>COUNTIF('PYQ by Year'!B$2:B$2000,A6)</f>
        <v/>
      </c>
      <c r="C6" s="2">
        <f>COUNTIFS('PYQ by Year'!B$2:B$2000,A6,'PYQ by Year'!I$2:I$2000,"Yes")</f>
        <v/>
      </c>
      <c r="D6" s="2">
        <f>IF(B6=0,0,ROUND(C6/B6*100,1))</f>
        <v/>
      </c>
      <c r="E6" s="2">
        <f>IF(B6=0,"",ROUND(AVERAGEIFS('PYQ by Year'!J$2:J$2000,'PYQ by Year'!B$2:B$2000,A6),0)&amp;"s")</f>
        <v/>
      </c>
      <c r="F6" s="2" t="n"/>
      <c r="G6" s="2" t="n"/>
    </row>
    <row r="7">
      <c r="A7" s="3" t="inlineStr">
        <is>
          <t>Theory of Computation</t>
        </is>
      </c>
      <c r="B7" s="3">
        <f>COUNTIF('PYQ by Year'!B$2:B$2000,A7)</f>
        <v/>
      </c>
      <c r="C7" s="3">
        <f>COUNTIFS('PYQ by Year'!B$2:B$2000,A7,'PYQ by Year'!I$2:I$2000,"Yes")</f>
        <v/>
      </c>
      <c r="D7" s="3">
        <f>IF(B7=0,0,ROUND(C7/B7*100,1))</f>
        <v/>
      </c>
      <c r="E7" s="3">
        <f>IF(B7=0,"",ROUND(AVERAGEIFS('PYQ by Year'!J$2:J$2000,'PYQ by Year'!B$2:B$2000,A7),0)&amp;"s")</f>
        <v/>
      </c>
      <c r="F7" s="3" t="n"/>
      <c r="G7" s="3" t="n"/>
    </row>
    <row r="8">
      <c r="A8" s="2" t="inlineStr">
        <is>
          <t>Compiler Design</t>
        </is>
      </c>
      <c r="B8" s="2">
        <f>COUNTIF('PYQ by Year'!B$2:B$2000,A8)</f>
        <v/>
      </c>
      <c r="C8" s="2">
        <f>COUNTIFS('PYQ by Year'!B$2:B$2000,A8,'PYQ by Year'!I$2:I$2000,"Yes")</f>
        <v/>
      </c>
      <c r="D8" s="2">
        <f>IF(B8=0,0,ROUND(C8/B8*100,1))</f>
        <v/>
      </c>
      <c r="E8" s="2">
        <f>IF(B8=0,"",ROUND(AVERAGEIFS('PYQ by Year'!J$2:J$2000,'PYQ by Year'!B$2:B$2000,A8),0)&amp;"s")</f>
        <v/>
      </c>
      <c r="F8" s="2" t="n"/>
      <c r="G8" s="2" t="n"/>
    </row>
    <row r="9">
      <c r="A9" s="3" t="inlineStr">
        <is>
          <t>Operating System</t>
        </is>
      </c>
      <c r="B9" s="3">
        <f>COUNTIF('PYQ by Year'!B$2:B$2000,A9)</f>
        <v/>
      </c>
      <c r="C9" s="3">
        <f>COUNTIFS('PYQ by Year'!B$2:B$2000,A9,'PYQ by Year'!I$2:I$2000,"Yes")</f>
        <v/>
      </c>
      <c r="D9" s="3">
        <f>IF(B9=0,0,ROUND(C9/B9*100,1))</f>
        <v/>
      </c>
      <c r="E9" s="3">
        <f>IF(B9=0,"",ROUND(AVERAGEIFS('PYQ by Year'!J$2:J$2000,'PYQ by Year'!B$2:B$2000,A9),0)&amp;"s")</f>
        <v/>
      </c>
      <c r="F9" s="3" t="n"/>
      <c r="G9" s="3" t="n"/>
    </row>
    <row r="10">
      <c r="A10" s="2" t="inlineStr">
        <is>
          <t>Databases</t>
        </is>
      </c>
      <c r="B10" s="2">
        <f>COUNTIF('PYQ by Year'!B$2:B$2000,A10)</f>
        <v/>
      </c>
      <c r="C10" s="2">
        <f>COUNTIFS('PYQ by Year'!B$2:B$2000,A10,'PYQ by Year'!I$2:I$2000,"Yes")</f>
        <v/>
      </c>
      <c r="D10" s="2">
        <f>IF(B10=0,0,ROUND(C10/B10*100,1))</f>
        <v/>
      </c>
      <c r="E10" s="2">
        <f>IF(B10=0,"",ROUND(AVERAGEIFS('PYQ by Year'!J$2:J$2000,'PYQ by Year'!B$2:B$2000,A10),0)&amp;"s")</f>
        <v/>
      </c>
      <c r="F10" s="2" t="n"/>
      <c r="G10" s="2" t="n"/>
    </row>
    <row r="11">
      <c r="A11" s="3" t="inlineStr">
        <is>
          <t>Computer Networks</t>
        </is>
      </c>
      <c r="B11" s="3">
        <f>COUNTIF('PYQ by Year'!B$2:B$2000,A11)</f>
        <v/>
      </c>
      <c r="C11" s="3">
        <f>COUNTIFS('PYQ by Year'!B$2:B$2000,A11,'PYQ by Year'!I$2:I$2000,"Yes")</f>
        <v/>
      </c>
      <c r="D11" s="3">
        <f>IF(B11=0,0,ROUND(C11/B11*100,1))</f>
        <v/>
      </c>
      <c r="E11" s="3">
        <f>IF(B11=0,"",ROUND(AVERAGEIFS('PYQ by Year'!J$2:J$2000,'PYQ by Year'!B$2:B$2000,A11),0)&amp;"s")</f>
        <v/>
      </c>
      <c r="F11" s="3" t="n"/>
      <c r="G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2026-09-13T11:36:05Z</dcterms:created>
  <dcterms:modified xmlns:dcterms="http://purl.org/dc/terms/" xmlns:xsi="http://www.w3.org/2001/XMLSchema-instance" xsi:type="dcterms:W3CDTF">2026-09-13T11:36:05Z</dcterms:modified>
</cp:coreProperties>
</file>