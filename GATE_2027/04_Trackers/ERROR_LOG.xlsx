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Log" sheetId="1" state="visible" r:id="rId1"/>
    <sheet xmlns:r="http://schemas.openxmlformats.org/officeDocument/2006/relationships" name="Error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B71C1C"/>
        <bgColor rgb="00B71C1C"/>
      </patternFill>
    </fill>
    <fill>
      <patternFill patternType="solid">
        <fgColor rgb="00F2F7FB"/>
        <bgColor rgb="00F2F7F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B71C1C"/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4" customWidth="1" min="5" max="5"/>
    <col width="12" customWidth="1" min="6" max="6"/>
    <col width="16" customWidth="1" min="7" max="7"/>
    <col width="12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Subject</t>
        </is>
      </c>
      <c r="D1" s="1" t="inlineStr">
        <is>
          <t>Topic</t>
        </is>
      </c>
      <c r="E1" s="1" t="inlineStr">
        <is>
          <t>Question_Ref</t>
        </is>
      </c>
      <c r="F1" s="1" t="inlineStr">
        <is>
          <t>My_Answer</t>
        </is>
      </c>
      <c r="G1" s="1" t="inlineStr">
        <is>
          <t>Correct_Answer</t>
        </is>
      </c>
      <c r="H1" s="1" t="inlineStr">
        <is>
          <t>Error_Type</t>
        </is>
      </c>
      <c r="I1" s="1" t="inlineStr">
        <is>
          <t>Root_Cause</t>
        </is>
      </c>
      <c r="J1" s="1" t="inlineStr">
        <is>
          <t>Concept_to_Revise</t>
        </is>
      </c>
      <c r="K1" s="1" t="inlineStr">
        <is>
          <t>Revise_By</t>
        </is>
      </c>
      <c r="L1" s="1" t="inlineStr">
        <is>
          <t>Revised_YN</t>
        </is>
      </c>
      <c r="M1" s="1" t="inlineStr">
        <is>
          <t>Notes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</row>
  </sheetData>
  <dataValidations count="3">
    <dataValidation sqref="B2:B10000" showDropDown="0" showInputMessage="0" showErrorMessage="1" allowBlank="1" errorTitle="Invalid Entry" error="Choose from: PYQ,Mock,Practice" type="list">
      <formula1>"PYQ,Mock,Practice"</formula1>
    </dataValidation>
    <dataValidation sqref="H2:H10000" showDropDown="0" showInputMessage="0" showErrorMessage="1" allowBlank="1" errorTitle="Invalid Entry" error="Choose from: Conceptual,Careless,Time_Pressure,Misread,Calculation,Method_Wrong" type="list">
      <formula1>"Conceptual,Careless,Time_Pressure,Misread,Calculation,Method_Wrong"</formula1>
    </dataValidation>
    <dataValidation sqref="L2:L10000" showDropDown="0" showInputMessage="0" showErrorMessage="1" allowBlank="1" errorTitle="Invalid Entry" error="Choose from: Yes,No" type="list">
      <formula1>"Yes,No"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  <col width="35" customWidth="1" min="4" max="4"/>
    <col width="35" customWidth="1" min="5" max="5"/>
    <col width="35" customWidth="1" min="6" max="6"/>
    <col width="35" customWidth="1" min="7" max="7"/>
    <col width="15" customWidth="1" min="8" max="8"/>
  </cols>
  <sheetData>
    <row r="1">
      <c r="A1" s="1" t="inlineStr">
        <is>
          <t>Subject</t>
        </is>
      </c>
      <c r="B1" s="1" t="inlineStr">
        <is>
          <t>Conceptual</t>
        </is>
      </c>
      <c r="C1" s="1" t="inlineStr">
        <is>
          <t>Careless</t>
        </is>
      </c>
      <c r="D1" s="1" t="inlineStr">
        <is>
          <t>Time_Pressure</t>
        </is>
      </c>
      <c r="E1" s="1" t="inlineStr">
        <is>
          <t>Misread</t>
        </is>
      </c>
      <c r="F1" s="1" t="inlineStr">
        <is>
          <t>Calculation</t>
        </is>
      </c>
      <c r="G1" s="1" t="inlineStr">
        <is>
          <t>Method_Wrong</t>
        </is>
      </c>
      <c r="H1" s="1" t="inlineStr">
        <is>
          <t>Total_Errors</t>
        </is>
      </c>
    </row>
    <row r="2">
      <c r="A2" s="2" t="inlineStr">
        <is>
          <t>Engineering Mathematics</t>
        </is>
      </c>
      <c r="B2" s="2">
        <f>COUNTIFS('Error Log'!C$2:C$10000,A2,'Error Log'!H$2:H$10000,"Conceptual")</f>
        <v/>
      </c>
      <c r="C2" s="2">
        <f>COUNTIFS('Error Log'!C$2:C$10000,A2,'Error Log'!H$2:H$10000,"Careless")</f>
        <v/>
      </c>
      <c r="D2" s="2">
        <f>COUNTIFS('Error Log'!C$2:C$10000,A2,'Error Log'!H$2:H$10000,"Time_Pressure")</f>
        <v/>
      </c>
      <c r="E2" s="2">
        <f>COUNTIFS('Error Log'!C$2:C$10000,A2,'Error Log'!H$2:H$10000,"Misread")</f>
        <v/>
      </c>
      <c r="F2" s="2">
        <f>COUNTIFS('Error Log'!C$2:C$10000,A2,'Error Log'!H$2:H$10000,"Calculation")</f>
        <v/>
      </c>
      <c r="G2" s="2">
        <f>COUNTIFS('Error Log'!C$2:C$10000,A2,'Error Log'!H$2:H$10000,"Method_Wrong")</f>
        <v/>
      </c>
      <c r="H2" s="2">
        <f>SUM(B2:G2)</f>
        <v/>
      </c>
    </row>
    <row r="3">
      <c r="A3" s="3" t="inlineStr">
        <is>
          <t>Digital Logic</t>
        </is>
      </c>
      <c r="B3" s="3">
        <f>COUNTIFS('Error Log'!C$2:C$10000,A3,'Error Log'!H$2:H$10000,"Conceptual")</f>
        <v/>
      </c>
      <c r="C3" s="3">
        <f>COUNTIFS('Error Log'!C$2:C$10000,A3,'Error Log'!H$2:H$10000,"Careless")</f>
        <v/>
      </c>
      <c r="D3" s="3">
        <f>COUNTIFS('Error Log'!C$2:C$10000,A3,'Error Log'!H$2:H$10000,"Time_Pressure")</f>
        <v/>
      </c>
      <c r="E3" s="3">
        <f>COUNTIFS('Error Log'!C$2:C$10000,A3,'Error Log'!H$2:H$10000,"Misread")</f>
        <v/>
      </c>
      <c r="F3" s="3">
        <f>COUNTIFS('Error Log'!C$2:C$10000,A3,'Error Log'!H$2:H$10000,"Calculation")</f>
        <v/>
      </c>
      <c r="G3" s="3">
        <f>COUNTIFS('Error Log'!C$2:C$10000,A3,'Error Log'!H$2:H$10000,"Method_Wrong")</f>
        <v/>
      </c>
      <c r="H3" s="3">
        <f>SUM(B3:G3)</f>
        <v/>
      </c>
    </row>
    <row r="4">
      <c r="A4" s="2" t="inlineStr">
        <is>
          <t>Computer Organization &amp; Architecture</t>
        </is>
      </c>
      <c r="B4" s="2">
        <f>COUNTIFS('Error Log'!C$2:C$10000,A4,'Error Log'!H$2:H$10000,"Conceptual")</f>
        <v/>
      </c>
      <c r="C4" s="2">
        <f>COUNTIFS('Error Log'!C$2:C$10000,A4,'Error Log'!H$2:H$10000,"Careless")</f>
        <v/>
      </c>
      <c r="D4" s="2">
        <f>COUNTIFS('Error Log'!C$2:C$10000,A4,'Error Log'!H$2:H$10000,"Time_Pressure")</f>
        <v/>
      </c>
      <c r="E4" s="2">
        <f>COUNTIFS('Error Log'!C$2:C$10000,A4,'Error Log'!H$2:H$10000,"Misread")</f>
        <v/>
      </c>
      <c r="F4" s="2">
        <f>COUNTIFS('Error Log'!C$2:C$10000,A4,'Error Log'!H$2:H$10000,"Calculation")</f>
        <v/>
      </c>
      <c r="G4" s="2">
        <f>COUNTIFS('Error Log'!C$2:C$10000,A4,'Error Log'!H$2:H$10000,"Method_Wrong")</f>
        <v/>
      </c>
      <c r="H4" s="2">
        <f>SUM(B4:G4)</f>
        <v/>
      </c>
    </row>
    <row r="5">
      <c r="A5" s="3" t="inlineStr">
        <is>
          <t>Programming &amp; Data Structures</t>
        </is>
      </c>
      <c r="B5" s="3">
        <f>COUNTIFS('Error Log'!C$2:C$10000,A5,'Error Log'!H$2:H$10000,"Conceptual")</f>
        <v/>
      </c>
      <c r="C5" s="3">
        <f>COUNTIFS('Error Log'!C$2:C$10000,A5,'Error Log'!H$2:H$10000,"Careless")</f>
        <v/>
      </c>
      <c r="D5" s="3">
        <f>COUNTIFS('Error Log'!C$2:C$10000,A5,'Error Log'!H$2:H$10000,"Time_Pressure")</f>
        <v/>
      </c>
      <c r="E5" s="3">
        <f>COUNTIFS('Error Log'!C$2:C$10000,A5,'Error Log'!H$2:H$10000,"Misread")</f>
        <v/>
      </c>
      <c r="F5" s="3">
        <f>COUNTIFS('Error Log'!C$2:C$10000,A5,'Error Log'!H$2:H$10000,"Calculation")</f>
        <v/>
      </c>
      <c r="G5" s="3">
        <f>COUNTIFS('Error Log'!C$2:C$10000,A5,'Error Log'!H$2:H$10000,"Method_Wrong")</f>
        <v/>
      </c>
      <c r="H5" s="3">
        <f>SUM(B5:G5)</f>
        <v/>
      </c>
    </row>
    <row r="6">
      <c r="A6" s="2" t="inlineStr">
        <is>
          <t>Algorithms</t>
        </is>
      </c>
      <c r="B6" s="2">
        <f>COUNTIFS('Error Log'!C$2:C$10000,A6,'Error Log'!H$2:H$10000,"Conceptual")</f>
        <v/>
      </c>
      <c r="C6" s="2">
        <f>COUNTIFS('Error Log'!C$2:C$10000,A6,'Error Log'!H$2:H$10000,"Careless")</f>
        <v/>
      </c>
      <c r="D6" s="2">
        <f>COUNTIFS('Error Log'!C$2:C$10000,A6,'Error Log'!H$2:H$10000,"Time_Pressure")</f>
        <v/>
      </c>
      <c r="E6" s="2">
        <f>COUNTIFS('Error Log'!C$2:C$10000,A6,'Error Log'!H$2:H$10000,"Misread")</f>
        <v/>
      </c>
      <c r="F6" s="2">
        <f>COUNTIFS('Error Log'!C$2:C$10000,A6,'Error Log'!H$2:H$10000,"Calculation")</f>
        <v/>
      </c>
      <c r="G6" s="2">
        <f>COUNTIFS('Error Log'!C$2:C$10000,A6,'Error Log'!H$2:H$10000,"Method_Wrong")</f>
        <v/>
      </c>
      <c r="H6" s="2">
        <f>SUM(B6:G6)</f>
        <v/>
      </c>
    </row>
    <row r="7">
      <c r="A7" s="3" t="inlineStr">
        <is>
          <t>Theory of Computation</t>
        </is>
      </c>
      <c r="B7" s="3">
        <f>COUNTIFS('Error Log'!C$2:C$10000,A7,'Error Log'!H$2:H$10000,"Conceptual")</f>
        <v/>
      </c>
      <c r="C7" s="3">
        <f>COUNTIFS('Error Log'!C$2:C$10000,A7,'Error Log'!H$2:H$10000,"Careless")</f>
        <v/>
      </c>
      <c r="D7" s="3">
        <f>COUNTIFS('Error Log'!C$2:C$10000,A7,'Error Log'!H$2:H$10000,"Time_Pressure")</f>
        <v/>
      </c>
      <c r="E7" s="3">
        <f>COUNTIFS('Error Log'!C$2:C$10000,A7,'Error Log'!H$2:H$10000,"Misread")</f>
        <v/>
      </c>
      <c r="F7" s="3">
        <f>COUNTIFS('Error Log'!C$2:C$10000,A7,'Error Log'!H$2:H$10000,"Calculation")</f>
        <v/>
      </c>
      <c r="G7" s="3">
        <f>COUNTIFS('Error Log'!C$2:C$10000,A7,'Error Log'!H$2:H$10000,"Method_Wrong")</f>
        <v/>
      </c>
      <c r="H7" s="3">
        <f>SUM(B7:G7)</f>
        <v/>
      </c>
    </row>
    <row r="8">
      <c r="A8" s="2" t="inlineStr">
        <is>
          <t>Compiler Design</t>
        </is>
      </c>
      <c r="B8" s="2">
        <f>COUNTIFS('Error Log'!C$2:C$10000,A8,'Error Log'!H$2:H$10000,"Conceptual")</f>
        <v/>
      </c>
      <c r="C8" s="2">
        <f>COUNTIFS('Error Log'!C$2:C$10000,A8,'Error Log'!H$2:H$10000,"Careless")</f>
        <v/>
      </c>
      <c r="D8" s="2">
        <f>COUNTIFS('Error Log'!C$2:C$10000,A8,'Error Log'!H$2:H$10000,"Time_Pressure")</f>
        <v/>
      </c>
      <c r="E8" s="2">
        <f>COUNTIFS('Error Log'!C$2:C$10000,A8,'Error Log'!H$2:H$10000,"Misread")</f>
        <v/>
      </c>
      <c r="F8" s="2">
        <f>COUNTIFS('Error Log'!C$2:C$10000,A8,'Error Log'!H$2:H$10000,"Calculation")</f>
        <v/>
      </c>
      <c r="G8" s="2">
        <f>COUNTIFS('Error Log'!C$2:C$10000,A8,'Error Log'!H$2:H$10000,"Method_Wrong")</f>
        <v/>
      </c>
      <c r="H8" s="2">
        <f>SUM(B8:G8)</f>
        <v/>
      </c>
    </row>
    <row r="9">
      <c r="A9" s="3" t="inlineStr">
        <is>
          <t>Operating System</t>
        </is>
      </c>
      <c r="B9" s="3">
        <f>COUNTIFS('Error Log'!C$2:C$10000,A9,'Error Log'!H$2:H$10000,"Conceptual")</f>
        <v/>
      </c>
      <c r="C9" s="3">
        <f>COUNTIFS('Error Log'!C$2:C$10000,A9,'Error Log'!H$2:H$10000,"Careless")</f>
        <v/>
      </c>
      <c r="D9" s="3">
        <f>COUNTIFS('Error Log'!C$2:C$10000,A9,'Error Log'!H$2:H$10000,"Time_Pressure")</f>
        <v/>
      </c>
      <c r="E9" s="3">
        <f>COUNTIFS('Error Log'!C$2:C$10000,A9,'Error Log'!H$2:H$10000,"Misread")</f>
        <v/>
      </c>
      <c r="F9" s="3">
        <f>COUNTIFS('Error Log'!C$2:C$10000,A9,'Error Log'!H$2:H$10000,"Calculation")</f>
        <v/>
      </c>
      <c r="G9" s="3">
        <f>COUNTIFS('Error Log'!C$2:C$10000,A9,'Error Log'!H$2:H$10000,"Method_Wrong")</f>
        <v/>
      </c>
      <c r="H9" s="3">
        <f>SUM(B9:G9)</f>
        <v/>
      </c>
    </row>
    <row r="10">
      <c r="A10" s="2" t="inlineStr">
        <is>
          <t>Databases</t>
        </is>
      </c>
      <c r="B10" s="2">
        <f>COUNTIFS('Error Log'!C$2:C$10000,A10,'Error Log'!H$2:H$10000,"Conceptual")</f>
        <v/>
      </c>
      <c r="C10" s="2">
        <f>COUNTIFS('Error Log'!C$2:C$10000,A10,'Error Log'!H$2:H$10000,"Careless")</f>
        <v/>
      </c>
      <c r="D10" s="2">
        <f>COUNTIFS('Error Log'!C$2:C$10000,A10,'Error Log'!H$2:H$10000,"Time_Pressure")</f>
        <v/>
      </c>
      <c r="E10" s="2">
        <f>COUNTIFS('Error Log'!C$2:C$10000,A10,'Error Log'!H$2:H$10000,"Misread")</f>
        <v/>
      </c>
      <c r="F10" s="2">
        <f>COUNTIFS('Error Log'!C$2:C$10000,A10,'Error Log'!H$2:H$10000,"Calculation")</f>
        <v/>
      </c>
      <c r="G10" s="2">
        <f>COUNTIFS('Error Log'!C$2:C$10000,A10,'Error Log'!H$2:H$10000,"Method_Wrong")</f>
        <v/>
      </c>
      <c r="H10" s="2">
        <f>SUM(B10:G10)</f>
        <v/>
      </c>
    </row>
    <row r="11">
      <c r="A11" s="3" t="inlineStr">
        <is>
          <t>Computer Networks</t>
        </is>
      </c>
      <c r="B11" s="3">
        <f>COUNTIFS('Error Log'!C$2:C$10000,A11,'Error Log'!H$2:H$10000,"Conceptual")</f>
        <v/>
      </c>
      <c r="C11" s="3">
        <f>COUNTIFS('Error Log'!C$2:C$10000,A11,'Error Log'!H$2:H$10000,"Careless")</f>
        <v/>
      </c>
      <c r="D11" s="3">
        <f>COUNTIFS('Error Log'!C$2:C$10000,A11,'Error Log'!H$2:H$10000,"Time_Pressure")</f>
        <v/>
      </c>
      <c r="E11" s="3">
        <f>COUNTIFS('Error Log'!C$2:C$10000,A11,'Error Log'!H$2:H$10000,"Misread")</f>
        <v/>
      </c>
      <c r="F11" s="3">
        <f>COUNTIFS('Error Log'!C$2:C$10000,A11,'Error Log'!H$2:H$10000,"Calculation")</f>
        <v/>
      </c>
      <c r="G11" s="3">
        <f>COUNTIFS('Error Log'!C$2:C$10000,A11,'Error Log'!H$2:H$10000,"Method_Wrong")</f>
        <v/>
      </c>
      <c r="H11" s="3">
        <f>SUM(B11:G11)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2026-09-13T11:36:05Z</dcterms:created>
  <dcterms:modified xmlns:dcterms="http://purl.org/dc/terms/" xmlns:xsi="http://www.w3.org/2001/XMLSchema-instance" xsi:type="dcterms:W3CDTF">2026-09-13T11:36:05Z</dcterms:modified>
</cp:coreProperties>
</file>